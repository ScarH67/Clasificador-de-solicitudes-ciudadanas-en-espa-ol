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8"/>
  <workbookPr/>
  <mc:AlternateContent xmlns:mc="http://schemas.openxmlformats.org/markup-compatibility/2006">
    <mc:Choice Requires="x15">
      <x15ac:absPath xmlns:x15ac="http://schemas.microsoft.com/office/spreadsheetml/2010/11/ac" url="/Users/ricardo8a/Documents/laboratorio/cowork/seminario2/resultados/"/>
    </mc:Choice>
  </mc:AlternateContent>
  <xr:revisionPtr revIDLastSave="0" documentId="13_ncr:1_{43DE0D44-CE1E-49EF-9981-FFEE586D3F0F}" xr6:coauthVersionLast="47" xr6:coauthVersionMax="47" xr10:uidLastSave="{00000000-0000-0000-0000-000000000000}"/>
  <bookViews>
    <workbookView xWindow="0" yWindow="600" windowWidth="38400" windowHeight="19200" xr2:uid="{00000000-000D-0000-FFFF-FFFF00000000}"/>
  </bookViews>
  <sheets>
    <sheet name="Codificación" sheetId="1" r:id="rId1"/>
    <sheet name="Guía y kapp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2" l="1"/>
  <c r="B17" i="2"/>
  <c r="C16" i="2"/>
  <c r="B16" i="2"/>
  <c r="C15" i="2"/>
  <c r="B15" i="2"/>
  <c r="C14" i="2"/>
  <c r="B14" i="2"/>
  <c r="C13" i="2"/>
  <c r="B13" i="2"/>
  <c r="C12" i="2"/>
  <c r="B12" i="2"/>
  <c r="B4" i="2"/>
  <c r="B9" i="2" s="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B5" i="2" l="1"/>
  <c r="B6" i="2" s="1"/>
  <c r="B7" i="2"/>
  <c r="B8" i="2" l="1"/>
</calcChain>
</file>

<file path=xl/sharedStrings.xml><?xml version="1.0" encoding="utf-8"?>
<sst xmlns="http://schemas.openxmlformats.org/spreadsheetml/2006/main" count="300" uniqueCount="167">
  <si>
    <t>ID</t>
  </si>
  <si>
    <t>Fecha y hora original</t>
  </si>
  <si>
    <t>Publicación original</t>
  </si>
  <si>
    <t>Evaluador A · tema</t>
  </si>
  <si>
    <t>Evaluador B · tema</t>
  </si>
  <si>
    <t>Acuerdo</t>
  </si>
  <si>
    <t>Observación</t>
  </si>
  <si>
    <t>21/09/26, 18:37:17</t>
  </si>
  <si>
    <t>La banqueta que está afuera de la ESANS, Escuela Secundaria Anexa a la Normal Superior, calle Ribera de San Cosme N°83, Alcaldía CUAUH. C.P 06400 toda llena de basura hiedra y sobre todo plaga de ratas y ratones! ojalá se atienda pronto por el bien de los estudiantes y pestones</t>
  </si>
  <si>
    <t>21/09/26, 18:13:36</t>
  </si>
  <si>
    <t>2. También en la alcaldía La Magdalena Contreras, Col. Cuauhtémoc, C.P. 10020.
Escombro y bache en la Calle Presa, casi frente al No. 19A, entre Guillermo Prieto y Luis Cabrera. Gracias.</t>
  </si>
  <si>
    <t>21/09/26, 17:51:29</t>
  </si>
  <si>
    <t>Qué maravilla la eficiencia de
,
y
. En Av. Santa Lucía, Fracc. Industrial San Antonio, frente a la Torre Tornel, estos árboles siguen esperando atención. No se pide ningún favor: únicamente que hagan su trabajo.</t>
  </si>
  <si>
    <t>21/09/26, 09:32:54</t>
  </si>
  <si>
    <t>Solicitamos su apoyo para realizar limpieza en la Av 1ero de mayo
Casi esquina con calle 4. Llevamos meses reportando que la gente llena de basura la calle y no nos dan atención para limpieza. Por los edificios que construyen hay más basura</t>
  </si>
  <si>
    <t>21/09/26, 17:20:48</t>
  </si>
  <si>
    <t>les pedimos intervenir en este problema de salud pública que tenemos en Andrés Molina Enriquez frente a 2916, los c trabajadores de los camiones de recolección de
en horario de trabajo tiran basura sobre la calle</t>
  </si>
  <si>
    <t>21/09/26, 16:44:25</t>
  </si>
  <si>
    <t>Las cuatro esquinas de la glorieta de la Diana
https://
maps.app.goo.gl/4YRMGvhzAKibrc
T29?g_st=ac
…
Rampas que sean Amplias / Funcionales para peatones y ciclistas, otra es la de Calle Varsovia y también en las cuatro esquinas del Ángel misos petición, CP 06500 qlc y col Cuauhtémoc.</t>
  </si>
  <si>
    <t>21/09/26, 16:39:36</t>
  </si>
  <si>
    <t>de su apoyo para el repintados del paso peatonal en el cruce de Félix cuevas con Gabriel Mancera así como señalización de ceder el paso ya que es un peligro cruzar ahí urge la atención</t>
  </si>
  <si>
    <t>21/09/26, 16:10:05</t>
  </si>
  <si>
    <t>Reportado este campamento también múltiples veces diagonal 20 de noviembre desde Bolívar hasta Lorenzo boturini</t>
  </si>
  <si>
    <t>21/09/26, 15:53:04</t>
  </si>
  <si>
    <t>Podría
levantar un folio para que confinen los 20 mts de Lieja desde Hamburgo a av Chapultepec antes de que ocurra un accidente y una bici blanca
es un peligro para ciclistas, se estaciona a esperar los de torre
o</t>
  </si>
  <si>
    <t>21/09/26, 15:43:44</t>
  </si>
  <si>
    <t>podrías levantar un folio para que las rampas junto a cocloestaciones se amplíen y/o construyan para acceder a ellas desde las laterales de Reforma de los leones al caballito
por qué están mal ubicadas</t>
  </si>
  <si>
    <t>21/09/26, 15:23:07</t>
  </si>
  <si>
    <t>Buenas tardes,
podrían levantar x favor el reporte de Sevilla pasando Reforma con este bache
lleva 2 semanas ahí y sigue creciendo</t>
  </si>
  <si>
    <t>21/09/26, 15:22:37</t>
  </si>
  <si>
    <t>URGE FUGA AV C SERDAN65 AGUA SOTO GAMA UH EMILIANO ZAPATA 04919 COY A</t>
  </si>
  <si>
    <t>21/09/26, 15:12:44</t>
  </si>
  <si>
    <t>Fuga de aguas negras frente a la parada Calle 22, frente al 633 de Revolución, San Pedro de los Pinos, 03800</t>
  </si>
  <si>
    <t>21/09/26, 15:00:45</t>
  </si>
  <si>
    <t>hice recargas en mi tarjeta de movilidad en la app y no se refleja las recargas pésimo servicio en dónde lo puedo reportar</t>
  </si>
  <si>
    <t>12/09/26, 15:30:57</t>
  </si>
  <si>
    <t>Este puesto tiene permiso para tener dos tanques de gas en vía pública?
Quién es culpable si explotan?
No tiene ni un mes que explotó uno aquí cerca.
Es la esquina de Insurgentes y Baja California en Roma Sur.</t>
  </si>
  <si>
    <t>21/09/26, 12:54:33</t>
  </si>
  <si>
    <t>Buena tarde, los reportes de transporte público y taxis deben ser realizados ante
para que sean atendidos, este se genera a través de
. Saludos.</t>
  </si>
  <si>
    <t>21/09/26, 13:03:50</t>
  </si>
  <si>
    <t>Tengo una solicitud de bacheo y la
la atendió a medias, ofrecen regresar pero cierran las solicitudes diciéndo que fueron atendidas, la
está peor de omisa</t>
  </si>
  <si>
    <t>21/09/26, 10:35:25</t>
  </si>
  <si>
    <t>Nos pueden apoyar a reparar esos baches
En calle renacimiento entre Aquiles Serdán y Av de las culturas
https://
maps.app.goo.gl/FtVguBYD5Pqfkf
Du5?g_st=ac
…</t>
  </si>
  <si>
    <t>21/09/26, 08:47:53</t>
  </si>
  <si>
    <t>Un bache de grandes dimensiones afecta la circulación en el cruce de Fuente de los Molinos y la avenida Unión, colonia Rincón del Pedregal, alcaldía Tlalpan.
Sigue la señal por
https://
nmas.com.mx/en-vivo</t>
  </si>
  <si>
    <t>19/09/26, 18:19:56</t>
  </si>
  <si>
    <t>sobre Av. Cuauhtémoc y La Morena, registros de soldados, una dovela salva a los automovilistas de no caer ahí e irse pues los registros son grandes en la
urge tu atención</t>
  </si>
  <si>
    <t>21/09/26, 12:09:43</t>
  </si>
  <si>
    <t>Atencion
la unidad 22089 venia haciendo tiempo deliverado en la ruta que va a Rosario, desde av vallejo a vueltade rueda xq terminaba en glorieta camarones, esto hoy 21/09/26 desde las 11:30 hrs.</t>
  </si>
  <si>
    <t>21/09/26, 11:43:55</t>
  </si>
  <si>
    <t>Buen día me pueden generan un folio para desasolve en Gral.mariano Escobedo afuera del entre lago Garda y Felipe Carrillo Puerto</t>
  </si>
  <si>
    <t>21/09/26, 10:53:12</t>
  </si>
  <si>
    <t>buen día no sé que autoridad sea la responsable del mantenimiento de las jardineras en las banquetas y el camellón que divide los carriles de la av rivera de San Cosme pero ya está muy crecida tiene mucha hiedra, basura y está generando fauna nociva</t>
  </si>
  <si>
    <t>21/09/26, 10:56:34</t>
  </si>
  <si>
    <t>VIOLACIÓN a LCC_CDMX art. 28, LEM_CDMX, RT art. 30 y 34 Refaccionaria PEREZ INVADE Arroyo Vehicular Banqueta Cebra Peatonal para ampliar actividad comercial Juventino Rosas 19 y 20 ñ reparando carros</t>
  </si>
  <si>
    <t>21/09/26, 10:52:51</t>
  </si>
  <si>
    <t>VIOLACIÓN a LCC_CDMX art. 28, LEM_CDMX, RT art. 30 y 34 Taller Mecánico INVADE Arroyo Vehicular Banqueta Cebra Peatonal para ampliar actividad comercial Juventino Rosas 55 servicio Zarco reparando carros en batería</t>
  </si>
  <si>
    <t>21/09/26, 09:39:52</t>
  </si>
  <si>
    <t>Pues es circuito interior al cruce con constituyentes sentido norte carril central, sobre el puente, no puedo detenerme a tomar fotos, es vía de acceso controlado, es muy difícil localizar eso?</t>
  </si>
  <si>
    <t>21/09/26, 08:52:08</t>
  </si>
  <si>
    <t>Hola buenos días. Fue en la autopista urbana norte justo en la caseta san Antonio-Alencastr (así aparece el ticket de cobro) no estoy segura pero creo que el CP es 01180</t>
  </si>
  <si>
    <t>21/09/26, 07:35:23</t>
  </si>
  <si>
    <t>Buen día. Ya se abrió nuevamente el hoyo que tapan y se abre regularmente, sobre Patricio Sanz, entre eje5 y San Borja, frente a los números 912/910/909/907
se agradecerá su pronta atención</t>
  </si>
  <si>
    <t>21/09/26, 09:22:04</t>
  </si>
  <si>
    <t>Buenos días
Si nos pueden apoyar para agilizar la atención del SUAC-2508264589091, aparece como aceptado, pero nos gustaría saber ¿cuando se va a atender?
Gracias</t>
  </si>
  <si>
    <t>21/09/26, 09:02:17</t>
  </si>
  <si>
    <t>"Post diario hasta que
y
le digan a su ruta de Aeropuerto y Mixcoac que deje de desviarse por Ermita como si no necesitáramos las paradas de Churubusco". Día 4
Hoy fue la unidad 124-00-82 Que, dicho sea de paso, traía el "82" borrado en todas partes.</t>
  </si>
  <si>
    <t>21/09/26, 09:10:06</t>
  </si>
  <si>
    <t>Franelero causa daño a mi vehículo, sobre calle Tlacoquemecatl entre san Francisco y fresas, me comunico a sspc vía telefónica, comentan que mandarán apoyo y después de más de 20min no llega ninguna unidad.</t>
  </si>
  <si>
    <t>21/09/26, 08:49:53</t>
  </si>
  <si>
    <t>mi reporte era sobre LA CALLE abandonada llena de basura y con el pavimento en pésimas condiciones. NO sobre la camioneta</t>
  </si>
  <si>
    <t>20/09/26, 22:23:47</t>
  </si>
  <si>
    <t>Hay coladera abierta sobre la lateral de circuito interior les paso foto y ubicación espero hagan algo pronto es casi saliendo metro terminal aérea frente al Hotel Fiesta Inn</t>
  </si>
  <si>
    <t>21/09/26, 06:44:51</t>
  </si>
  <si>
    <t>Alcade
las luminarias de Pinos y Río Chico en la Unidad Independencia llevan días así</t>
  </si>
  <si>
    <t>20/09/26, 20:39:04</t>
  </si>
  <si>
    <t>Podrían repavimentar la calle de Arq. Carlos Lazo, de Arq Luis Ruiz, a Periférico, Tacubaya, 11870, se encuentra destruida por los camiones</t>
  </si>
  <si>
    <t>21/09/26, 07:55:44</t>
  </si>
  <si>
    <t>Buenos días nos solicitan el apoyo debido ala falta de agua y de presión en algunas zonas de
podría hacer sus denuncia vía telefónica con Locatel para que transfiera al área oh en la página de</t>
  </si>
  <si>
    <t>20/09/26, 19:36:06</t>
  </si>
  <si>
    <t>.
buenos días ya tendrían respuesta sobre el balizado</t>
  </si>
  <si>
    <t>20/09/26, 17:06:13</t>
  </si>
  <si>
    <t>socavón en calle Don Juan esquina calle Carmen
Lleva semanas y ya están aventando cascajo.
Favor de atender</t>
  </si>
  <si>
    <t>20/09/26, 17:48:09</t>
  </si>
  <si>
    <t>Crece y crece el campamento de indigentes
Acumulan basura, defecan al aire libre, consumen drogas, hay algunos que necesitan atención médica
Ayúdenos a retirarlos
camellón sobre ferrocarril hidalgo entre Henry Ford y a Noe</t>
  </si>
  <si>
    <t>20/09/26, 14:29:16</t>
  </si>
  <si>
    <t>La servidora pública con antecedentes de desvío se recursos sigue ensuciando la
con campañas anticipadas
Pedimos a
ayuda
tomada en
Murguia y Progreso
basta de basura</t>
  </si>
  <si>
    <t>20/09/26, 13:44:05</t>
  </si>
  <si>
    <t>constantemente la calzada san bartolo naucalpan se llena de basura, tanto de hojas de los árboles, como de la gente que tira en la calle y tiraderos clandestinos ¿Cómo se puede solicitar una cuadrilla que sea constante para que pase a barrer y retirar desechos?</t>
  </si>
  <si>
    <t>20/09/26, 14:08:50</t>
  </si>
  <si>
    <t>Más coladeras tapadas sobre av reforma, pónganse a trabajar los de
para limpiar esas coladeras</t>
  </si>
  <si>
    <t>20/09/26, 14:04:10</t>
  </si>
  <si>
    <t>todas las coladera sobre paseo de la reforma desde el monumento a Colón hasta metro Juárez tapadas.</t>
  </si>
  <si>
    <t>20/09/26, 13:38:46</t>
  </si>
  <si>
    <t>Hola
URGE SU ATENCIÓN EN LA CALLE ARENAL POR FUGA DE AGUA, tenemos semanas así, y nada de atención!</t>
  </si>
  <si>
    <t>20/09/26, 09:03:51</t>
  </si>
  <si>
    <t>su apoyo para tapar bache en Calle Fernando Espinosa Gutiérrez esquina con Av Vasco de Quiroga en Col Sta Fe. Frente a centro comercial Patio Sta Fe.</t>
  </si>
  <si>
    <t>20/09/26, 12:01:56</t>
  </si>
  <si>
    <t>Canal de Chalco está lleno de BACHES, desde el Periférico hasta Heberto Castillo, ambos sentidos.
ya tiene conocimiento.
CCP</t>
  </si>
  <si>
    <t>20/09/26, 13:06:54</t>
  </si>
  <si>
    <t>Oye
donde puedo denunciar un establecimiento de eventos culturales que permite que fumen cigarro y mariguana en lugares cerrados y sin cero ventilación?</t>
  </si>
  <si>
    <t>20/09/26, 12:14:06</t>
  </si>
  <si>
    <t>Buen día
Solicito apoyo urgente para retirar dos cables caídos sobre la banqueta y que atraviesan las entradas de varias casas. Calle Tebas 110, col. Clavería.</t>
  </si>
  <si>
    <t>20/09/26, 10:18:28</t>
  </si>
  <si>
    <t>Fuga de agua en Circuito Interior por la Salida 12-C, después del cruce con Calz. De la Viga. El puente peatonal que se observa en el video se encuentra en Sur 103-A y Circuito Interior, col. Sector Popular, Iztapalapa</t>
  </si>
  <si>
    <t>20/09/26, 10:03:39</t>
  </si>
  <si>
    <t>la cancha básquet tiene por objeto jugar basquetbol, no sus kermeses.
No sirve de nada denunciar porque no hacen nada.</t>
  </si>
  <si>
    <t>20/09/26, 09:56:14</t>
  </si>
  <si>
    <t>He hablado y he ido a lss oficinas. Su respuesta fue que como mis placas son del edomex debo ir a las oficinas de REPUVE en EDOMEX pero en EDOMEX no hay oficinas. Entonces donde me pueden resolver????</t>
  </si>
  <si>
    <t>20/09/26, 09:21:55</t>
  </si>
  <si>
    <t>Río Churubusco, es en el camellón, frente a sur 103a, colonia sector popular. Iztapalapa cp 09060. Son el colmo. Más de 24 horas desperdiciándose el agua…..</t>
  </si>
  <si>
    <t>20/09/26, 08:51:33</t>
  </si>
  <si>
    <t>911 es en el ecoducto entre insurgentes y Chilpancingo Cuauhtémoc para abrir un ticket más que se cerrara sin hacer nada, iluminar, limpiar, pintar ./..</t>
  </si>
  <si>
    <t>19/09/26, 22:39:33</t>
  </si>
  <si>
    <t>de su apoyo para reparación del pavimento en el cruces de Adolfo Prieto y parroquia está lleno de baches !! No queremos parques queremos reparación de las calles al 100%</t>
  </si>
  <si>
    <t>20/09/26, 00:43:28</t>
  </si>
  <si>
    <t>BASURA JUNTO AL FARO COSMOS ,Calz México-Tacuba, Tlaxpana, Miguel Hidalgo, 11370 Ciudad de México, CDMX. Sobre Avenida Melchor Ocampo. REPORTE 2, basura arriba del puente Peatonal av Melchor Ocampo frente al número 49 esquina Nezahualpilli</t>
  </si>
  <si>
    <t>20/09/26, 05:00:39</t>
  </si>
  <si>
    <t>Buenos Días Levanto Reporte A Taxi A-9642-A El Cual El Chófer Es Una Persona Prepotente Y Altanera Que No Respeta La Tarifa Correspondiente Además De Traer Una Unidad En Muy Mal Estado Y Tarjeton Vencido Desde 2021 Con 5 Años Vencido.</t>
  </si>
  <si>
    <t>19/09/26, 20:21:28</t>
  </si>
  <si>
    <t>Pueden reparar la luminaria sobre Observatorio frente al número 87,
Tacubaya, 11870</t>
  </si>
  <si>
    <t>19/09/26, 19:44:04</t>
  </si>
  <si>
    <t>Apoyo en la calle de Santa María la Ribera entre eje 1 y Sorjuana
manden una patrulla y muevan a todos estos que están en 2ble fila ya es insoportable. No poder llegar a tu casa con calma</t>
  </si>
  <si>
    <t>19/09/26, 19:46:30</t>
  </si>
  <si>
    <t>Buena tarde, compartimos su reporte con
, para la atención correspondiente, así mismo, le proporcionamos su número para recibir mayor orientación: 55 5208 9898.
Le atiende Eréndira H.</t>
  </si>
  <si>
    <t>19/09/26, 19:31:29</t>
  </si>
  <si>
    <t>Nuevamente, el Hyundai HB20 blanco, placas NDM-528-A (Edomex), permanece estacionado desde hace varios días frente a Campeche 175, apropiándose de manera prolongada de un espacio en la vía pública.</t>
  </si>
  <si>
    <t>18/09/26, 12:27:04</t>
  </si>
  <si>
    <t>Viva la narvarte, verdad?
cada 2 o 3 días hay esta cantidad de basura en la glorieta SCOP, lo he denunciado varias veces y nada. Pero que tal para cerrar negocios sino pagan???</t>
  </si>
  <si>
    <t>19/09/26, 17:15:30</t>
  </si>
  <si>
    <t>BACHE JUNTO A LA ESTACIÓN DE BOMBEROS DE SANTA FE
Solicito apoyo para atender este bache sobre Av. Tamaulipas, a la altura de la Estación de Bomberos de Santa Fe, en Contadero, Cuajimalpa.
Av. Tamaulipas, Santa Fe, Contadero, Cuajimalpa de Morelos, CDMX.
Es una zona</t>
  </si>
  <si>
    <t>19/09/26, 18:37:44</t>
  </si>
  <si>
    <t>@TlalpanAl Favor de cambiar la lámpara de calle Petenes, col. Pedregal de Santa Úrsula Xitla entre los lotes 19 y 20 de la manzana 12, ya que es indispensable para los transeúntes, urge, gracias</t>
  </si>
  <si>
    <t>19/09/26, 16:53:40</t>
  </si>
  <si>
    <t>en avenida México santa cruz Acalpixca, entre 2 de abril y Pedro Benavides hay una coladera que lleva más de un mes sin tapa y también está obstruida lo que provoca que el agua fétida salga a la calle provocando un foco de infección</t>
  </si>
  <si>
    <t>19/09/26, 16:45:35</t>
  </si>
  <si>
    <t>¿Cómo cuánto tiempo se tardan en poder arreglar unos semi-socavones que reporté hace casi un mes? Cada vez más grandes y más peligrosos.</t>
  </si>
  <si>
    <t>19/09/26, 15:16:59</t>
  </si>
  <si>
    <t>el verificentro CU83 deja de dar servicio a las 3 cuando su horario explícitamente dice hasta las 8 pm los sábados</t>
  </si>
  <si>
    <t>19/09/26, 14:36:21</t>
  </si>
  <si>
    <t>Se solicita reparar socavón en Mar Adriático núm 2 entre Mar de Irlanda y Marina nacional col Popotla</t>
  </si>
  <si>
    <t>Acuerdo entre evaluadores · kappa de Cohen</t>
  </si>
  <si>
    <t>Registros originales</t>
  </si>
  <si>
    <t>Pares incluidos en kappa</t>
  </si>
  <si>
    <t>Acuerdos observados</t>
  </si>
  <si>
    <t>Acuerdo observado (Po)</t>
  </si>
  <si>
    <t>Acuerdo esperado (Pe)</t>
  </si>
  <si>
    <t>Kappa de Cohen</t>
  </si>
  <si>
    <t>Pares excluidos por «Desechar»</t>
  </si>
  <si>
    <t>Categoría temática</t>
  </si>
  <si>
    <t>Evaluador A</t>
  </si>
  <si>
    <t>Evaluador B</t>
  </si>
  <si>
    <t>Solo pares completos sin «Desechar»</t>
  </si>
  <si>
    <t>Baches y pavimento</t>
  </si>
  <si>
    <t>Alumbrado público</t>
  </si>
  <si>
    <t>Fuga de agua</t>
  </si>
  <si>
    <t>Recolección de basura</t>
  </si>
  <si>
    <t>Seguridad</t>
  </si>
  <si>
    <t>No es posible determinar</t>
  </si>
  <si>
    <t>Instrucciones para codificar</t>
  </si>
  <si>
    <t>1. Cada evaluador clasifica los mismos 67 registros de manera independiente, sin consultar la columna del otro.</t>
  </si>
  <si>
    <t>2. Selecciona una sola categoría para el asunto principal; si hay varios, toma el primero desarrollado con claridad.</t>
  </si>
  <si>
    <t>3. «Baches y pavimento» cubre daños viales; «Fuga de agua» incluye agua potable y residual; «Recolección de basura» incluye acumulación o retiro de residuos.</t>
  </si>
  <si>
    <t>4. «Seguridad» se refiere a delitos, violencia o conductas que requieren intervención de seguridad pública.</t>
  </si>
  <si>
    <t>5. Usa «No es posible determinar» si hay un reporte de alguna de las cinco categorías, pero no se puede distinguir cuál. Usa «Desechar» si falta información suficiente para reconocer un reporte o si trata de otro tema.</t>
  </si>
  <si>
    <t>6. Kappa se calcula con pares completos sin «Desechar». Si cualquiera marca «Desechar», se excluye el par y se cuenta arriba. Revisa los desacuerdos sin alterar las etiquetas iniciales.</t>
  </si>
  <si>
    <t>Desechar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</si>
</sst>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7">
    <font>
      <sz val="11"/>
      <name val="Carlito"/>
    </font>
    <font>
      <b/>
      <sz val="11"/>
      <color rgb="FFFFFFFF"/>
      <name val="Arial"/>
      <family val="2"/>
    </font>
    <font>
      <sz val="10"/>
      <color rgb="FF24364A"/>
      <name val="Arial"/>
      <family val="2"/>
    </font>
    <font>
      <b/>
      <sz val="15"/>
      <color rgb="FFFFFFFF"/>
      <name val="Arial"/>
      <family val="2"/>
    </font>
    <font>
      <b/>
      <sz val="11"/>
      <color rgb="FF16324F"/>
      <name val="Arial"/>
      <family val="2"/>
    </font>
    <font>
      <sz val="11"/>
      <name val="Arial"/>
      <family val="2"/>
    </font>
    <font>
      <b/>
      <sz val="14"/>
      <color rgb="FF145541"/>
      <name val="Arial"/>
      <family val="2"/>
    </font>
  </fonts>
  <fills count="6">
    <fill>
      <patternFill patternType="none"/>
    </fill>
    <fill>
      <patternFill patternType="gray125"/>
    </fill>
    <fill>
      <patternFill patternType="solid">
        <fgColor rgb="FF16324F"/>
      </patternFill>
    </fill>
    <fill>
      <patternFill patternType="solid">
        <fgColor rgb="FFEAF5FF"/>
      </patternFill>
    </fill>
    <fill>
      <patternFill patternType="solid">
        <fgColor rgb="FF295A75"/>
      </patternFill>
    </fill>
    <fill>
      <patternFill patternType="solid">
        <fgColor rgb="FFD9EFE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wrapText="1"/>
    </xf>
    <xf numFmtId="0" fontId="2" fillId="0" borderId="0" xfId="0" applyFont="1"/>
    <xf numFmtId="0" fontId="2" fillId="0" borderId="0" xfId="0" applyFont="1" applyAlignment="1">
      <alignment wrapText="1"/>
    </xf>
    <xf numFmtId="0" fontId="2" fillId="3" borderId="0" xfId="0" applyFont="1" applyFill="1"/>
    <xf numFmtId="0" fontId="3" fillId="2" borderId="0" xfId="0" applyFont="1" applyFill="1"/>
    <xf numFmtId="0" fontId="1" fillId="4" borderId="0" xfId="0" applyFont="1" applyFill="1"/>
    <xf numFmtId="0" fontId="4" fillId="0" borderId="0" xfId="0" applyFont="1"/>
    <xf numFmtId="0" fontId="5" fillId="0" borderId="0" xfId="0" applyFont="1"/>
    <xf numFmtId="164" fontId="5" fillId="0" borderId="0" xfId="0" applyNumberFormat="1" applyFont="1"/>
    <xf numFmtId="0" fontId="5" fillId="0" borderId="0" xfId="0" applyFont="1" applyAlignment="1">
      <alignment wrapText="1"/>
    </xf>
    <xf numFmtId="165" fontId="6" fillId="5" borderId="0" xfId="0" applyNumberFormat="1"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8"/>
  <sheetViews>
    <sheetView showGridLines="0" tabSelected="1" zoomScale="70" zoomScaleNormal="70" workbookViewId="0">
      <pane ySplit="1" topLeftCell="A56" activePane="bottomLeft" state="frozen"/>
      <selection pane="bottomLeft" activeCell="G5" sqref="G5"/>
    </sheetView>
  </sheetViews>
  <sheetFormatPr baseColWidth="10" defaultColWidth="9" defaultRowHeight="15"/>
  <cols>
    <col min="1" max="1" width="7" customWidth="1"/>
    <col min="2" max="2" width="22" customWidth="1"/>
    <col min="3" max="3" width="76.6640625" style="12" customWidth="1"/>
    <col min="4" max="4" width="0.1640625" customWidth="1"/>
    <col min="5" max="5" width="30" customWidth="1"/>
    <col min="6" max="6" width="15" customWidth="1"/>
    <col min="7" max="7" width="34" customWidth="1"/>
  </cols>
  <sheetData>
    <row r="1" spans="1:7" ht="33" customHeight="1">
      <c r="A1" s="1" t="s">
        <v>0</v>
      </c>
      <c r="B1" s="1" t="s">
        <v>1</v>
      </c>
      <c r="C1" s="1" t="s">
        <v>2</v>
      </c>
      <c r="D1" s="1" t="s">
        <v>3</v>
      </c>
      <c r="E1" s="1" t="s">
        <v>4</v>
      </c>
      <c r="F1" s="1" t="s">
        <v>5</v>
      </c>
      <c r="G1" s="1" t="s">
        <v>6</v>
      </c>
    </row>
    <row r="2" spans="1:7" ht="55" customHeight="1">
      <c r="A2" s="2">
        <v>1</v>
      </c>
      <c r="B2" s="2" t="s">
        <v>7</v>
      </c>
      <c r="C2" s="3" t="s">
        <v>8</v>
      </c>
      <c r="D2" s="4" t="s">
        <v>156</v>
      </c>
      <c r="E2" s="4" t="s">
        <v>156</v>
      </c>
      <c r="F2" s="2" t="str">
        <f t="shared" ref="F2:F33" si="0">IF(OR(D2="",E2=""),"",IF(OR(D2="Desechar",E2="Desechar"),"Excluido",IF(D2=E2,"Coinciden","Difieren")))</f>
        <v>Coinciden</v>
      </c>
      <c r="G2" s="2"/>
    </row>
    <row r="3" spans="1:7" ht="55" customHeight="1">
      <c r="A3" s="2">
        <v>2</v>
      </c>
      <c r="B3" s="2" t="s">
        <v>9</v>
      </c>
      <c r="C3" s="3" t="s">
        <v>10</v>
      </c>
      <c r="D3" s="4" t="s">
        <v>153</v>
      </c>
      <c r="E3" s="4" t="s">
        <v>153</v>
      </c>
      <c r="F3" s="2" t="str">
        <f t="shared" si="0"/>
        <v>Coinciden</v>
      </c>
      <c r="G3" s="2"/>
    </row>
    <row r="4" spans="1:7" ht="55" customHeight="1">
      <c r="A4" s="2">
        <v>3</v>
      </c>
      <c r="B4" s="2" t="s">
        <v>11</v>
      </c>
      <c r="C4" s="3" t="s">
        <v>12</v>
      </c>
      <c r="D4" s="4" t="s">
        <v>158</v>
      </c>
      <c r="E4" s="4" t="s">
        <v>158</v>
      </c>
      <c r="F4" s="2" t="str">
        <f t="shared" si="0"/>
        <v>Coinciden</v>
      </c>
      <c r="G4" s="2"/>
    </row>
    <row r="5" spans="1:7" ht="55" customHeight="1">
      <c r="A5" s="2">
        <v>4</v>
      </c>
      <c r="B5" s="2" t="s">
        <v>13</v>
      </c>
      <c r="C5" s="3" t="s">
        <v>14</v>
      </c>
      <c r="D5" s="4" t="s">
        <v>156</v>
      </c>
      <c r="E5" s="4" t="s">
        <v>156</v>
      </c>
      <c r="F5" s="2" t="str">
        <f t="shared" si="0"/>
        <v>Coinciden</v>
      </c>
      <c r="G5" s="2"/>
    </row>
    <row r="6" spans="1:7" ht="55" customHeight="1">
      <c r="A6" s="2">
        <v>5</v>
      </c>
      <c r="B6" s="2" t="s">
        <v>15</v>
      </c>
      <c r="C6" s="3" t="s">
        <v>16</v>
      </c>
      <c r="D6" s="4" t="s">
        <v>156</v>
      </c>
      <c r="E6" s="4" t="s">
        <v>156</v>
      </c>
      <c r="F6" s="2" t="str">
        <f t="shared" si="0"/>
        <v>Coinciden</v>
      </c>
      <c r="G6" s="2"/>
    </row>
    <row r="7" spans="1:7" ht="55" customHeight="1">
      <c r="A7" s="2">
        <v>6</v>
      </c>
      <c r="B7" s="2" t="s">
        <v>17</v>
      </c>
      <c r="C7" s="3" t="s">
        <v>18</v>
      </c>
      <c r="D7" s="4" t="s">
        <v>158</v>
      </c>
      <c r="E7" s="4" t="s">
        <v>158</v>
      </c>
      <c r="F7" s="2" t="str">
        <f t="shared" si="0"/>
        <v>Coinciden</v>
      </c>
      <c r="G7" s="2"/>
    </row>
    <row r="8" spans="1:7" ht="55" customHeight="1">
      <c r="A8" s="2">
        <v>7</v>
      </c>
      <c r="B8" s="2" t="s">
        <v>19</v>
      </c>
      <c r="C8" s="3" t="s">
        <v>20</v>
      </c>
      <c r="D8" s="4" t="s">
        <v>158</v>
      </c>
      <c r="E8" s="4" t="s">
        <v>153</v>
      </c>
      <c r="F8" s="2" t="str">
        <f t="shared" si="0"/>
        <v>Difieren</v>
      </c>
      <c r="G8" s="2"/>
    </row>
    <row r="9" spans="1:7" ht="55" customHeight="1">
      <c r="A9" s="2">
        <v>8</v>
      </c>
      <c r="B9" s="2" t="s">
        <v>21</v>
      </c>
      <c r="C9" s="3" t="s">
        <v>22</v>
      </c>
      <c r="D9" s="4" t="s">
        <v>157</v>
      </c>
      <c r="E9" s="4" t="s">
        <v>157</v>
      </c>
      <c r="F9" s="2" t="str">
        <f t="shared" si="0"/>
        <v>Coinciden</v>
      </c>
      <c r="G9" s="2"/>
    </row>
    <row r="10" spans="1:7" ht="55" customHeight="1">
      <c r="A10" s="2">
        <v>9</v>
      </c>
      <c r="B10" s="2" t="s">
        <v>23</v>
      </c>
      <c r="C10" s="3" t="s">
        <v>24</v>
      </c>
      <c r="D10" s="4" t="s">
        <v>157</v>
      </c>
      <c r="E10" s="4" t="s">
        <v>157</v>
      </c>
      <c r="F10" s="2" t="str">
        <f t="shared" si="0"/>
        <v>Coinciden</v>
      </c>
      <c r="G10" s="2"/>
    </row>
    <row r="11" spans="1:7" ht="55" customHeight="1">
      <c r="A11" s="2">
        <v>10</v>
      </c>
      <c r="B11" s="2" t="s">
        <v>25</v>
      </c>
      <c r="C11" s="3" t="s">
        <v>26</v>
      </c>
      <c r="D11" s="4" t="s">
        <v>157</v>
      </c>
      <c r="E11" s="4" t="s">
        <v>153</v>
      </c>
      <c r="F11" s="2" t="str">
        <f t="shared" si="0"/>
        <v>Difieren</v>
      </c>
      <c r="G11" s="2"/>
    </row>
    <row r="12" spans="1:7" ht="55" customHeight="1">
      <c r="A12" s="2">
        <v>11</v>
      </c>
      <c r="B12" s="2" t="s">
        <v>27</v>
      </c>
      <c r="C12" s="3" t="s">
        <v>28</v>
      </c>
      <c r="D12" s="4" t="s">
        <v>153</v>
      </c>
      <c r="E12" s="4" t="s">
        <v>153</v>
      </c>
      <c r="F12" s="2" t="str">
        <f t="shared" si="0"/>
        <v>Coinciden</v>
      </c>
      <c r="G12" s="2"/>
    </row>
    <row r="13" spans="1:7" ht="55" customHeight="1">
      <c r="A13" s="2">
        <v>12</v>
      </c>
      <c r="B13" s="2" t="s">
        <v>29</v>
      </c>
      <c r="C13" s="3" t="s">
        <v>30</v>
      </c>
      <c r="D13" s="4" t="s">
        <v>155</v>
      </c>
      <c r="E13" s="4" t="s">
        <v>155</v>
      </c>
      <c r="F13" s="2" t="str">
        <f t="shared" si="0"/>
        <v>Coinciden</v>
      </c>
      <c r="G13" s="2"/>
    </row>
    <row r="14" spans="1:7" ht="55" customHeight="1">
      <c r="A14" s="2">
        <v>13</v>
      </c>
      <c r="B14" s="2" t="s">
        <v>31</v>
      </c>
      <c r="C14" s="3" t="s">
        <v>32</v>
      </c>
      <c r="D14" s="4" t="s">
        <v>155</v>
      </c>
      <c r="E14" s="4" t="s">
        <v>155</v>
      </c>
      <c r="F14" s="2" t="str">
        <f t="shared" si="0"/>
        <v>Coinciden</v>
      </c>
      <c r="G14" s="2"/>
    </row>
    <row r="15" spans="1:7" ht="55" customHeight="1">
      <c r="A15" s="2">
        <v>14</v>
      </c>
      <c r="B15" s="2" t="s">
        <v>33</v>
      </c>
      <c r="C15" s="3" t="s">
        <v>34</v>
      </c>
      <c r="D15" s="4" t="s">
        <v>158</v>
      </c>
      <c r="E15" s="4" t="s">
        <v>158</v>
      </c>
      <c r="F15" s="2" t="str">
        <f t="shared" si="0"/>
        <v>Coinciden</v>
      </c>
      <c r="G15" s="2"/>
    </row>
    <row r="16" spans="1:7" ht="55" customHeight="1">
      <c r="A16" s="2">
        <v>15</v>
      </c>
      <c r="B16" s="2" t="s">
        <v>35</v>
      </c>
      <c r="C16" s="3" t="s">
        <v>36</v>
      </c>
      <c r="D16" s="4" t="s">
        <v>157</v>
      </c>
      <c r="E16" s="4" t="s">
        <v>157</v>
      </c>
      <c r="F16" s="2" t="str">
        <f t="shared" si="0"/>
        <v>Coinciden</v>
      </c>
      <c r="G16" s="2"/>
    </row>
    <row r="17" spans="1:7" ht="55" customHeight="1">
      <c r="A17" s="2">
        <v>16</v>
      </c>
      <c r="B17" s="2" t="s">
        <v>37</v>
      </c>
      <c r="C17" s="3" t="s">
        <v>38</v>
      </c>
      <c r="D17" s="4" t="s">
        <v>166</v>
      </c>
      <c r="E17" s="4" t="s">
        <v>158</v>
      </c>
      <c r="F17" s="2" t="str">
        <f t="shared" si="0"/>
        <v>Excluido</v>
      </c>
      <c r="G17" s="2"/>
    </row>
    <row r="18" spans="1:7" ht="55" customHeight="1">
      <c r="A18" s="2">
        <v>17</v>
      </c>
      <c r="B18" s="2" t="s">
        <v>39</v>
      </c>
      <c r="C18" s="3" t="s">
        <v>40</v>
      </c>
      <c r="D18" s="4" t="s">
        <v>153</v>
      </c>
      <c r="E18" s="4" t="s">
        <v>153</v>
      </c>
      <c r="F18" s="2" t="str">
        <f t="shared" si="0"/>
        <v>Coinciden</v>
      </c>
      <c r="G18" s="2"/>
    </row>
    <row r="19" spans="1:7" ht="66.75" customHeight="1">
      <c r="A19" s="2">
        <v>18</v>
      </c>
      <c r="B19" s="2" t="s">
        <v>41</v>
      </c>
      <c r="C19" s="3" t="s">
        <v>42</v>
      </c>
      <c r="D19" s="4" t="s">
        <v>153</v>
      </c>
      <c r="E19" s="4" t="s">
        <v>153</v>
      </c>
      <c r="F19" s="2" t="str">
        <f t="shared" si="0"/>
        <v>Coinciden</v>
      </c>
      <c r="G19" s="2"/>
    </row>
    <row r="20" spans="1:7" ht="55" customHeight="1">
      <c r="A20" s="2">
        <v>19</v>
      </c>
      <c r="B20" s="2" t="s">
        <v>43</v>
      </c>
      <c r="C20" s="3" t="s">
        <v>44</v>
      </c>
      <c r="D20" s="4" t="s">
        <v>153</v>
      </c>
      <c r="E20" s="4" t="s">
        <v>153</v>
      </c>
      <c r="F20" s="2" t="str">
        <f t="shared" si="0"/>
        <v>Coinciden</v>
      </c>
      <c r="G20" s="2"/>
    </row>
    <row r="21" spans="1:7" ht="55" customHeight="1">
      <c r="A21" s="2">
        <v>20</v>
      </c>
      <c r="B21" s="2" t="s">
        <v>45</v>
      </c>
      <c r="C21" s="3" t="s">
        <v>46</v>
      </c>
      <c r="D21" s="4" t="s">
        <v>153</v>
      </c>
      <c r="E21" s="4" t="s">
        <v>153</v>
      </c>
      <c r="F21" s="2" t="str">
        <f t="shared" si="0"/>
        <v>Coinciden</v>
      </c>
      <c r="G21" s="2"/>
    </row>
    <row r="22" spans="1:7" ht="55" customHeight="1">
      <c r="A22" s="2">
        <v>21</v>
      </c>
      <c r="B22" s="2" t="s">
        <v>47</v>
      </c>
      <c r="C22" s="3" t="s">
        <v>48</v>
      </c>
      <c r="D22" s="4" t="s">
        <v>157</v>
      </c>
      <c r="E22" s="4" t="s">
        <v>157</v>
      </c>
      <c r="F22" s="2" t="str">
        <f t="shared" si="0"/>
        <v>Coinciden</v>
      </c>
      <c r="G22" s="2"/>
    </row>
    <row r="23" spans="1:7" ht="55" customHeight="1">
      <c r="A23" s="2">
        <v>22</v>
      </c>
      <c r="B23" s="2" t="s">
        <v>49</v>
      </c>
      <c r="C23" s="3" t="s">
        <v>50</v>
      </c>
      <c r="D23" s="4" t="s">
        <v>155</v>
      </c>
      <c r="E23" s="4" t="s">
        <v>155</v>
      </c>
      <c r="F23" s="2" t="str">
        <f t="shared" si="0"/>
        <v>Coinciden</v>
      </c>
      <c r="G23" s="2"/>
    </row>
    <row r="24" spans="1:7" ht="55" customHeight="1">
      <c r="A24" s="2">
        <v>23</v>
      </c>
      <c r="B24" s="2" t="s">
        <v>51</v>
      </c>
      <c r="C24" s="3" t="s">
        <v>52</v>
      </c>
      <c r="D24" s="4" t="s">
        <v>158</v>
      </c>
      <c r="E24" s="4" t="s">
        <v>156</v>
      </c>
      <c r="F24" s="2" t="str">
        <f t="shared" si="0"/>
        <v>Difieren</v>
      </c>
      <c r="G24" s="2"/>
    </row>
    <row r="25" spans="1:7" ht="55" customHeight="1">
      <c r="A25" s="2">
        <v>24</v>
      </c>
      <c r="B25" s="2" t="s">
        <v>53</v>
      </c>
      <c r="C25" s="3" t="s">
        <v>54</v>
      </c>
      <c r="D25" s="4" t="s">
        <v>157</v>
      </c>
      <c r="E25" s="4" t="s">
        <v>157</v>
      </c>
      <c r="F25" s="2" t="str">
        <f t="shared" si="0"/>
        <v>Coinciden</v>
      </c>
      <c r="G25" s="2"/>
    </row>
    <row r="26" spans="1:7" ht="55" customHeight="1">
      <c r="A26" s="2">
        <v>25</v>
      </c>
      <c r="B26" s="2" t="s">
        <v>55</v>
      </c>
      <c r="C26" s="3" t="s">
        <v>56</v>
      </c>
      <c r="D26" s="4" t="s">
        <v>166</v>
      </c>
      <c r="E26" s="4" t="s">
        <v>157</v>
      </c>
      <c r="F26" s="2" t="str">
        <f t="shared" si="0"/>
        <v>Excluido</v>
      </c>
      <c r="G26" s="2"/>
    </row>
    <row r="27" spans="1:7" ht="55" customHeight="1">
      <c r="A27" s="2">
        <v>26</v>
      </c>
      <c r="B27" s="2" t="s">
        <v>57</v>
      </c>
      <c r="C27" s="3" t="s">
        <v>58</v>
      </c>
      <c r="D27" s="4" t="s">
        <v>166</v>
      </c>
      <c r="E27" s="4" t="s">
        <v>166</v>
      </c>
      <c r="F27" s="2" t="str">
        <f t="shared" si="0"/>
        <v>Excluido</v>
      </c>
      <c r="G27" s="2"/>
    </row>
    <row r="28" spans="1:7" ht="55" customHeight="1">
      <c r="A28" s="2">
        <v>27</v>
      </c>
      <c r="B28" s="2" t="s">
        <v>59</v>
      </c>
      <c r="C28" s="3" t="s">
        <v>60</v>
      </c>
      <c r="D28" s="4" t="s">
        <v>166</v>
      </c>
      <c r="E28" s="4" t="s">
        <v>166</v>
      </c>
      <c r="F28" s="2" t="str">
        <f t="shared" si="0"/>
        <v>Excluido</v>
      </c>
      <c r="G28" s="2"/>
    </row>
    <row r="29" spans="1:7" ht="55" customHeight="1">
      <c r="A29" s="2">
        <v>28</v>
      </c>
      <c r="B29" s="2" t="s">
        <v>61</v>
      </c>
      <c r="C29" s="3" t="s">
        <v>62</v>
      </c>
      <c r="D29" s="4" t="s">
        <v>153</v>
      </c>
      <c r="E29" s="4" t="s">
        <v>153</v>
      </c>
      <c r="F29" s="2" t="str">
        <f t="shared" si="0"/>
        <v>Coinciden</v>
      </c>
      <c r="G29" s="2"/>
    </row>
    <row r="30" spans="1:7" ht="55" customHeight="1">
      <c r="A30" s="2">
        <v>29</v>
      </c>
      <c r="B30" s="2" t="s">
        <v>63</v>
      </c>
      <c r="C30" s="3" t="s">
        <v>64</v>
      </c>
      <c r="D30" s="4" t="s">
        <v>166</v>
      </c>
      <c r="E30" s="4" t="s">
        <v>166</v>
      </c>
      <c r="F30" s="2" t="str">
        <f t="shared" si="0"/>
        <v>Excluido</v>
      </c>
      <c r="G30" s="2"/>
    </row>
    <row r="31" spans="1:7" ht="55" customHeight="1">
      <c r="A31" s="2">
        <v>30</v>
      </c>
      <c r="B31" s="2" t="s">
        <v>65</v>
      </c>
      <c r="C31" s="3" t="s">
        <v>66</v>
      </c>
      <c r="D31" s="4" t="s">
        <v>157</v>
      </c>
      <c r="E31" s="4" t="s">
        <v>157</v>
      </c>
      <c r="F31" s="2" t="str">
        <f t="shared" si="0"/>
        <v>Coinciden</v>
      </c>
      <c r="G31" s="2"/>
    </row>
    <row r="32" spans="1:7" ht="55" customHeight="1">
      <c r="A32" s="2">
        <v>31</v>
      </c>
      <c r="B32" s="2" t="s">
        <v>67</v>
      </c>
      <c r="C32" s="3" t="s">
        <v>68</v>
      </c>
      <c r="D32" s="4" t="s">
        <v>157</v>
      </c>
      <c r="E32" s="4" t="s">
        <v>157</v>
      </c>
      <c r="F32" s="2" t="str">
        <f t="shared" si="0"/>
        <v>Coinciden</v>
      </c>
      <c r="G32" s="2"/>
    </row>
    <row r="33" spans="1:7" ht="55" customHeight="1">
      <c r="A33" s="2">
        <v>32</v>
      </c>
      <c r="B33" s="2" t="s">
        <v>69</v>
      </c>
      <c r="C33" s="3" t="s">
        <v>70</v>
      </c>
      <c r="D33" s="4" t="s">
        <v>156</v>
      </c>
      <c r="E33" s="4" t="s">
        <v>156</v>
      </c>
      <c r="F33" s="2" t="str">
        <f t="shared" si="0"/>
        <v>Coinciden</v>
      </c>
      <c r="G33" s="2"/>
    </row>
    <row r="34" spans="1:7" ht="55" customHeight="1">
      <c r="A34" s="2">
        <v>33</v>
      </c>
      <c r="B34" s="2" t="s">
        <v>71</v>
      </c>
      <c r="C34" s="3" t="s">
        <v>72</v>
      </c>
      <c r="D34" s="4" t="s">
        <v>153</v>
      </c>
      <c r="E34" s="4" t="s">
        <v>153</v>
      </c>
      <c r="F34" s="2" t="str">
        <f t="shared" ref="F34:F65" si="1">IF(OR(D34="",E34=""),"",IF(OR(D34="Desechar",E34="Desechar"),"Excluido",IF(D34=E34,"Coinciden","Difieren")))</f>
        <v>Coinciden</v>
      </c>
      <c r="G34" s="2"/>
    </row>
    <row r="35" spans="1:7" ht="55" customHeight="1">
      <c r="A35" s="2">
        <v>34</v>
      </c>
      <c r="B35" s="2" t="s">
        <v>73</v>
      </c>
      <c r="C35" s="3" t="s">
        <v>74</v>
      </c>
      <c r="D35" s="4" t="s">
        <v>154</v>
      </c>
      <c r="E35" s="4" t="s">
        <v>154</v>
      </c>
      <c r="F35" s="2" t="str">
        <f t="shared" si="1"/>
        <v>Coinciden</v>
      </c>
      <c r="G35" s="2"/>
    </row>
    <row r="36" spans="1:7" ht="55" customHeight="1">
      <c r="A36" s="2">
        <v>35</v>
      </c>
      <c r="B36" s="2" t="s">
        <v>75</v>
      </c>
      <c r="C36" s="3" t="s">
        <v>76</v>
      </c>
      <c r="D36" s="4" t="s">
        <v>153</v>
      </c>
      <c r="E36" s="4" t="s">
        <v>153</v>
      </c>
      <c r="F36" s="2" t="str">
        <f t="shared" si="1"/>
        <v>Coinciden</v>
      </c>
      <c r="G36" s="2"/>
    </row>
    <row r="37" spans="1:7" ht="55" customHeight="1">
      <c r="A37" s="2">
        <v>36</v>
      </c>
      <c r="B37" s="2" t="s">
        <v>77</v>
      </c>
      <c r="C37" s="3" t="s">
        <v>78</v>
      </c>
      <c r="D37" s="4" t="s">
        <v>155</v>
      </c>
      <c r="E37" s="4" t="s">
        <v>155</v>
      </c>
      <c r="F37" s="2" t="str">
        <f t="shared" si="1"/>
        <v>Coinciden</v>
      </c>
      <c r="G37" s="2"/>
    </row>
    <row r="38" spans="1:7" ht="55" customHeight="1">
      <c r="A38" s="2">
        <v>37</v>
      </c>
      <c r="B38" s="2" t="s">
        <v>79</v>
      </c>
      <c r="C38" s="3" t="s">
        <v>80</v>
      </c>
      <c r="D38" s="4" t="s">
        <v>158</v>
      </c>
      <c r="E38" s="4" t="s">
        <v>158</v>
      </c>
      <c r="F38" s="2" t="str">
        <f t="shared" si="1"/>
        <v>Coinciden</v>
      </c>
      <c r="G38" s="2"/>
    </row>
    <row r="39" spans="1:7" ht="55" customHeight="1">
      <c r="A39" s="2">
        <v>38</v>
      </c>
      <c r="B39" s="2" t="s">
        <v>81</v>
      </c>
      <c r="C39" s="3" t="s">
        <v>82</v>
      </c>
      <c r="D39" s="4" t="s">
        <v>156</v>
      </c>
      <c r="E39" s="4" t="s">
        <v>156</v>
      </c>
      <c r="F39" s="2" t="str">
        <f t="shared" si="1"/>
        <v>Coinciden</v>
      </c>
      <c r="G39" s="2"/>
    </row>
    <row r="40" spans="1:7" ht="55" customHeight="1">
      <c r="A40" s="2">
        <v>39</v>
      </c>
      <c r="B40" s="2" t="s">
        <v>83</v>
      </c>
      <c r="C40" s="3" t="s">
        <v>84</v>
      </c>
      <c r="D40" s="4" t="s">
        <v>157</v>
      </c>
      <c r="E40" s="4" t="s">
        <v>157</v>
      </c>
      <c r="F40" s="2" t="str">
        <f t="shared" si="1"/>
        <v>Coinciden</v>
      </c>
      <c r="G40" s="2"/>
    </row>
    <row r="41" spans="1:7" ht="55" customHeight="1">
      <c r="A41" s="2">
        <v>40</v>
      </c>
      <c r="B41" s="2" t="s">
        <v>85</v>
      </c>
      <c r="C41" s="3" t="s">
        <v>86</v>
      </c>
      <c r="D41" s="4" t="s">
        <v>156</v>
      </c>
      <c r="E41" s="4" t="s">
        <v>156</v>
      </c>
      <c r="F41" s="2" t="str">
        <f t="shared" si="1"/>
        <v>Coinciden</v>
      </c>
      <c r="G41" s="2"/>
    </row>
    <row r="42" spans="1:7" ht="55" customHeight="1">
      <c r="A42" s="2">
        <v>41</v>
      </c>
      <c r="B42" s="2" t="s">
        <v>87</v>
      </c>
      <c r="C42" s="3" t="s">
        <v>88</v>
      </c>
      <c r="D42" s="4" t="s">
        <v>156</v>
      </c>
      <c r="E42" s="4" t="s">
        <v>156</v>
      </c>
      <c r="F42" s="2" t="str">
        <f t="shared" si="1"/>
        <v>Coinciden</v>
      </c>
      <c r="G42" s="2"/>
    </row>
    <row r="43" spans="1:7" ht="55" customHeight="1">
      <c r="A43" s="2">
        <v>42</v>
      </c>
      <c r="B43" s="2" t="s">
        <v>89</v>
      </c>
      <c r="C43" s="3" t="s">
        <v>90</v>
      </c>
      <c r="D43" s="4" t="s">
        <v>155</v>
      </c>
      <c r="E43" s="4" t="s">
        <v>155</v>
      </c>
      <c r="F43" s="2" t="str">
        <f t="shared" si="1"/>
        <v>Coinciden</v>
      </c>
      <c r="G43" s="2"/>
    </row>
    <row r="44" spans="1:7" ht="55" customHeight="1">
      <c r="A44" s="2">
        <v>43</v>
      </c>
      <c r="B44" s="2" t="s">
        <v>91</v>
      </c>
      <c r="C44" s="3" t="s">
        <v>92</v>
      </c>
      <c r="D44" s="4" t="s">
        <v>155</v>
      </c>
      <c r="E44" s="4" t="s">
        <v>155</v>
      </c>
      <c r="F44" s="2" t="str">
        <f t="shared" si="1"/>
        <v>Coinciden</v>
      </c>
      <c r="G44" s="2"/>
    </row>
    <row r="45" spans="1:7" ht="55" customHeight="1">
      <c r="A45" s="2">
        <v>44</v>
      </c>
      <c r="B45" s="2" t="s">
        <v>93</v>
      </c>
      <c r="C45" s="3" t="s">
        <v>94</v>
      </c>
      <c r="D45" s="4" t="s">
        <v>155</v>
      </c>
      <c r="E45" s="4" t="s">
        <v>155</v>
      </c>
      <c r="F45" s="2" t="str">
        <f t="shared" si="1"/>
        <v>Coinciden</v>
      </c>
      <c r="G45" s="2"/>
    </row>
    <row r="46" spans="1:7" ht="55" customHeight="1">
      <c r="A46" s="2">
        <v>45</v>
      </c>
      <c r="B46" s="2" t="s">
        <v>95</v>
      </c>
      <c r="C46" s="3" t="s">
        <v>96</v>
      </c>
      <c r="D46" s="4" t="s">
        <v>153</v>
      </c>
      <c r="E46" s="4" t="s">
        <v>153</v>
      </c>
      <c r="F46" s="2" t="str">
        <f t="shared" si="1"/>
        <v>Coinciden</v>
      </c>
      <c r="G46" s="2"/>
    </row>
    <row r="47" spans="1:7" ht="55" customHeight="1">
      <c r="A47" s="2">
        <v>46</v>
      </c>
      <c r="B47" s="2" t="s">
        <v>97</v>
      </c>
      <c r="C47" s="3" t="s">
        <v>98</v>
      </c>
      <c r="D47" s="4" t="s">
        <v>153</v>
      </c>
      <c r="E47" s="4" t="s">
        <v>153</v>
      </c>
      <c r="F47" s="2" t="str">
        <f t="shared" si="1"/>
        <v>Coinciden</v>
      </c>
      <c r="G47" s="2"/>
    </row>
    <row r="48" spans="1:7" ht="55" customHeight="1">
      <c r="A48" s="2">
        <v>47</v>
      </c>
      <c r="B48" s="2" t="s">
        <v>99</v>
      </c>
      <c r="C48" s="3" t="s">
        <v>100</v>
      </c>
      <c r="D48" s="4" t="s">
        <v>157</v>
      </c>
      <c r="E48" s="4" t="s">
        <v>157</v>
      </c>
      <c r="F48" s="2" t="str">
        <f t="shared" si="1"/>
        <v>Coinciden</v>
      </c>
      <c r="G48" s="2"/>
    </row>
    <row r="49" spans="1:7" ht="55" customHeight="1">
      <c r="A49" s="2">
        <v>48</v>
      </c>
      <c r="B49" s="2" t="s">
        <v>101</v>
      </c>
      <c r="C49" s="3" t="s">
        <v>102</v>
      </c>
      <c r="D49" s="4" t="s">
        <v>154</v>
      </c>
      <c r="E49" s="4" t="s">
        <v>156</v>
      </c>
      <c r="F49" s="2" t="str">
        <f t="shared" si="1"/>
        <v>Difieren</v>
      </c>
      <c r="G49" s="2"/>
    </row>
    <row r="50" spans="1:7" ht="55" customHeight="1">
      <c r="A50" s="2">
        <v>49</v>
      </c>
      <c r="B50" s="2" t="s">
        <v>103</v>
      </c>
      <c r="C50" s="3" t="s">
        <v>104</v>
      </c>
      <c r="D50" s="4" t="s">
        <v>155</v>
      </c>
      <c r="E50" s="4" t="s">
        <v>155</v>
      </c>
      <c r="F50" s="2" t="str">
        <f t="shared" si="1"/>
        <v>Coinciden</v>
      </c>
      <c r="G50" s="2"/>
    </row>
    <row r="51" spans="1:7" ht="55" customHeight="1">
      <c r="A51" s="2">
        <v>50</v>
      </c>
      <c r="B51" s="2" t="s">
        <v>105</v>
      </c>
      <c r="C51" s="3" t="s">
        <v>106</v>
      </c>
      <c r="D51" s="4" t="s">
        <v>158</v>
      </c>
      <c r="E51" s="4" t="s">
        <v>158</v>
      </c>
      <c r="F51" s="2" t="str">
        <f t="shared" si="1"/>
        <v>Coinciden</v>
      </c>
      <c r="G51" s="2"/>
    </row>
    <row r="52" spans="1:7" ht="55" customHeight="1">
      <c r="A52" s="2">
        <v>51</v>
      </c>
      <c r="B52" s="2" t="s">
        <v>107</v>
      </c>
      <c r="C52" s="3" t="s">
        <v>108</v>
      </c>
      <c r="D52" s="4" t="s">
        <v>158</v>
      </c>
      <c r="E52" s="4" t="s">
        <v>158</v>
      </c>
      <c r="F52" s="2" t="str">
        <f t="shared" si="1"/>
        <v>Coinciden</v>
      </c>
      <c r="G52" s="2"/>
    </row>
    <row r="53" spans="1:7" ht="55" customHeight="1">
      <c r="A53" s="2">
        <v>52</v>
      </c>
      <c r="B53" s="2" t="s">
        <v>109</v>
      </c>
      <c r="C53" s="3" t="s">
        <v>110</v>
      </c>
      <c r="D53" s="4" t="s">
        <v>155</v>
      </c>
      <c r="E53" s="4" t="s">
        <v>155</v>
      </c>
      <c r="F53" s="2" t="str">
        <f t="shared" si="1"/>
        <v>Coinciden</v>
      </c>
      <c r="G53" s="2"/>
    </row>
    <row r="54" spans="1:7" ht="55" customHeight="1">
      <c r="A54" s="2">
        <v>53</v>
      </c>
      <c r="B54" s="2" t="s">
        <v>111</v>
      </c>
      <c r="C54" s="3" t="s">
        <v>112</v>
      </c>
      <c r="D54" s="4" t="s">
        <v>154</v>
      </c>
      <c r="E54" s="4" t="s">
        <v>154</v>
      </c>
      <c r="F54" s="2" t="str">
        <f t="shared" si="1"/>
        <v>Coinciden</v>
      </c>
      <c r="G54" s="2"/>
    </row>
    <row r="55" spans="1:7" ht="55" customHeight="1">
      <c r="A55" s="2">
        <v>54</v>
      </c>
      <c r="B55" s="2" t="s">
        <v>113</v>
      </c>
      <c r="C55" s="3" t="s">
        <v>114</v>
      </c>
      <c r="D55" s="4" t="s">
        <v>153</v>
      </c>
      <c r="E55" s="4" t="s">
        <v>153</v>
      </c>
      <c r="F55" s="2" t="str">
        <f t="shared" si="1"/>
        <v>Coinciden</v>
      </c>
      <c r="G55" s="2"/>
    </row>
    <row r="56" spans="1:7" ht="55" customHeight="1">
      <c r="A56" s="2">
        <v>55</v>
      </c>
      <c r="B56" s="2" t="s">
        <v>115</v>
      </c>
      <c r="C56" s="3" t="s">
        <v>116</v>
      </c>
      <c r="D56" s="4" t="s">
        <v>156</v>
      </c>
      <c r="E56" s="4" t="s">
        <v>156</v>
      </c>
      <c r="F56" s="2" t="str">
        <f t="shared" si="1"/>
        <v>Coinciden</v>
      </c>
      <c r="G56" s="2"/>
    </row>
    <row r="57" spans="1:7" ht="55" customHeight="1">
      <c r="A57" s="2">
        <v>56</v>
      </c>
      <c r="B57" s="2" t="s">
        <v>117</v>
      </c>
      <c r="C57" s="3" t="s">
        <v>118</v>
      </c>
      <c r="D57" s="4" t="s">
        <v>157</v>
      </c>
      <c r="E57" s="4" t="s">
        <v>157</v>
      </c>
      <c r="F57" s="2" t="str">
        <f t="shared" si="1"/>
        <v>Coinciden</v>
      </c>
      <c r="G57" s="2"/>
    </row>
    <row r="58" spans="1:7" ht="55" customHeight="1">
      <c r="A58" s="2">
        <v>57</v>
      </c>
      <c r="B58" s="2" t="s">
        <v>119</v>
      </c>
      <c r="C58" s="3" t="s">
        <v>120</v>
      </c>
      <c r="D58" s="4" t="s">
        <v>154</v>
      </c>
      <c r="E58" s="4" t="s">
        <v>154</v>
      </c>
      <c r="F58" s="2" t="str">
        <f t="shared" si="1"/>
        <v>Coinciden</v>
      </c>
      <c r="G58" s="2"/>
    </row>
    <row r="59" spans="1:7" ht="55" customHeight="1">
      <c r="A59" s="2">
        <v>58</v>
      </c>
      <c r="B59" s="2" t="s">
        <v>121</v>
      </c>
      <c r="C59" s="3" t="s">
        <v>122</v>
      </c>
      <c r="D59" s="4" t="s">
        <v>157</v>
      </c>
      <c r="E59" s="4" t="s">
        <v>157</v>
      </c>
      <c r="F59" s="2" t="str">
        <f t="shared" si="1"/>
        <v>Coinciden</v>
      </c>
      <c r="G59" s="2"/>
    </row>
    <row r="60" spans="1:7" ht="55" customHeight="1">
      <c r="A60" s="2">
        <v>59</v>
      </c>
      <c r="B60" s="2" t="s">
        <v>123</v>
      </c>
      <c r="C60" s="3" t="s">
        <v>124</v>
      </c>
      <c r="D60" s="4" t="s">
        <v>166</v>
      </c>
      <c r="E60" s="4" t="s">
        <v>166</v>
      </c>
      <c r="F60" s="2" t="str">
        <f t="shared" si="1"/>
        <v>Excluido</v>
      </c>
      <c r="G60" s="2"/>
    </row>
    <row r="61" spans="1:7" ht="55" customHeight="1">
      <c r="A61" s="2">
        <v>60</v>
      </c>
      <c r="B61" s="2" t="s">
        <v>125</v>
      </c>
      <c r="C61" s="3" t="s">
        <v>126</v>
      </c>
      <c r="D61" s="4" t="s">
        <v>157</v>
      </c>
      <c r="E61" s="4" t="s">
        <v>157</v>
      </c>
      <c r="F61" s="2" t="str">
        <f t="shared" si="1"/>
        <v>Coinciden</v>
      </c>
      <c r="G61" s="2"/>
    </row>
    <row r="62" spans="1:7" ht="55" customHeight="1">
      <c r="A62" s="2">
        <v>61</v>
      </c>
      <c r="B62" s="2" t="s">
        <v>127</v>
      </c>
      <c r="C62" s="3" t="s">
        <v>128</v>
      </c>
      <c r="D62" s="4" t="s">
        <v>156</v>
      </c>
      <c r="E62" s="4" t="s">
        <v>156</v>
      </c>
      <c r="F62" s="2" t="str">
        <f t="shared" si="1"/>
        <v>Coinciden</v>
      </c>
      <c r="G62" s="2"/>
    </row>
    <row r="63" spans="1:7" ht="55" customHeight="1">
      <c r="A63" s="2">
        <v>62</v>
      </c>
      <c r="B63" s="2" t="s">
        <v>129</v>
      </c>
      <c r="C63" s="3" t="s">
        <v>130</v>
      </c>
      <c r="D63" s="4" t="s">
        <v>153</v>
      </c>
      <c r="E63" s="4" t="s">
        <v>153</v>
      </c>
      <c r="F63" s="2" t="str">
        <f t="shared" si="1"/>
        <v>Coinciden</v>
      </c>
      <c r="G63" s="2"/>
    </row>
    <row r="64" spans="1:7" ht="55" customHeight="1">
      <c r="A64" s="2">
        <v>63</v>
      </c>
      <c r="B64" s="2" t="s">
        <v>131</v>
      </c>
      <c r="C64" s="3" t="s">
        <v>132</v>
      </c>
      <c r="D64" s="4" t="s">
        <v>154</v>
      </c>
      <c r="E64" s="4" t="s">
        <v>154</v>
      </c>
      <c r="F64" s="2" t="str">
        <f t="shared" si="1"/>
        <v>Coinciden</v>
      </c>
      <c r="G64" s="2"/>
    </row>
    <row r="65" spans="1:7" ht="55" customHeight="1">
      <c r="A65" s="2">
        <v>64</v>
      </c>
      <c r="B65" s="2" t="s">
        <v>133</v>
      </c>
      <c r="C65" s="3" t="s">
        <v>134</v>
      </c>
      <c r="D65" s="4" t="s">
        <v>155</v>
      </c>
      <c r="E65" s="4" t="s">
        <v>155</v>
      </c>
      <c r="F65" s="2" t="str">
        <f t="shared" si="1"/>
        <v>Coinciden</v>
      </c>
      <c r="G65" s="2"/>
    </row>
    <row r="66" spans="1:7" ht="55" customHeight="1">
      <c r="A66" s="2">
        <v>65</v>
      </c>
      <c r="B66" s="2" t="s">
        <v>135</v>
      </c>
      <c r="C66" s="3" t="s">
        <v>136</v>
      </c>
      <c r="D66" s="4" t="s">
        <v>153</v>
      </c>
      <c r="E66" s="4" t="s">
        <v>153</v>
      </c>
      <c r="F66" s="2" t="str">
        <f t="shared" ref="F66:F68" si="2">IF(OR(D66="",E66=""),"",IF(OR(D66="Desechar",E66="Desechar"),"Excluido",IF(D66=E66,"Coinciden","Difieren")))</f>
        <v>Coinciden</v>
      </c>
      <c r="G66" s="2"/>
    </row>
    <row r="67" spans="1:7" ht="55" customHeight="1">
      <c r="A67" s="2">
        <v>66</v>
      </c>
      <c r="B67" s="2" t="s">
        <v>137</v>
      </c>
      <c r="C67" s="3" t="s">
        <v>138</v>
      </c>
      <c r="D67" s="4" t="s">
        <v>157</v>
      </c>
      <c r="E67" s="4" t="s">
        <v>157</v>
      </c>
      <c r="F67" s="2" t="str">
        <f t="shared" si="2"/>
        <v>Coinciden</v>
      </c>
      <c r="G67" s="2"/>
    </row>
    <row r="68" spans="1:7" ht="55" customHeight="1">
      <c r="A68" s="2">
        <v>67</v>
      </c>
      <c r="B68" s="2" t="s">
        <v>139</v>
      </c>
      <c r="C68" s="3" t="s">
        <v>140</v>
      </c>
      <c r="D68" s="4" t="s">
        <v>153</v>
      </c>
      <c r="E68" s="4" t="s">
        <v>153</v>
      </c>
      <c r="F68" s="2" t="str">
        <f t="shared" si="2"/>
        <v>Coinciden</v>
      </c>
      <c r="G68" s="2"/>
    </row>
  </sheetData>
  <dataValidations count="1">
    <dataValidation type="list" sqref="D2:E68" xr:uid="{00000000-0002-0000-0000-000000000000}">
      <formula1>"Baches y pavimento,Alumbrado público,Fuga de agua,Recolección de basura,Seguridad,No es posible determinar,Desechar"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showGridLines="0" workbookViewId="0"/>
  </sheetViews>
  <sheetFormatPr baseColWidth="10" defaultColWidth="9" defaultRowHeight="15"/>
  <cols>
    <col min="1" max="1" width="95" customWidth="1"/>
    <col min="2" max="3" width="20" customWidth="1"/>
    <col min="4" max="5" width="15" customWidth="1"/>
  </cols>
  <sheetData>
    <row r="1" spans="1:5" ht="35" customHeight="1">
      <c r="A1" s="5" t="s">
        <v>141</v>
      </c>
      <c r="B1" s="5"/>
      <c r="C1" s="5"/>
      <c r="D1" s="5"/>
      <c r="E1" s="5"/>
    </row>
    <row r="3" spans="1:5">
      <c r="A3" s="7" t="s">
        <v>142</v>
      </c>
      <c r="B3" s="8">
        <v>67</v>
      </c>
      <c r="C3" s="8"/>
    </row>
    <row r="4" spans="1:5">
      <c r="A4" s="7" t="s">
        <v>143</v>
      </c>
      <c r="B4" s="8">
        <f>COUNTIFS(Codificación!D2:D68,"&lt;&gt;",Codificación!E2:E68,"&lt;&gt;",Codificación!D2:D68,"&lt;&gt;Desechar",Codificación!E2:E68,"&lt;&gt;Desechar")</f>
        <v>61</v>
      </c>
      <c r="C4" s="8"/>
    </row>
    <row r="5" spans="1:5">
      <c r="A5" s="7" t="s">
        <v>144</v>
      </c>
      <c r="B5" s="8">
        <f>COUNTIFS(Codificación!F2:F68,"Coinciden")</f>
        <v>57</v>
      </c>
      <c r="C5" s="8"/>
    </row>
    <row r="6" spans="1:5">
      <c r="A6" s="7" t="s">
        <v>145</v>
      </c>
      <c r="B6" s="9">
        <f>IF(B4=0,"",B5/B4)</f>
        <v>0.93442622950819676</v>
      </c>
      <c r="C6" s="8"/>
    </row>
    <row r="7" spans="1:5">
      <c r="A7" s="7" t="s">
        <v>146</v>
      </c>
      <c r="B7" s="9">
        <f>IF(B4=0,"",SUMPRODUCT(B12:B17,C12:C17)/(B4*B4))</f>
        <v>0.18919645256651438</v>
      </c>
      <c r="C7" s="8"/>
    </row>
    <row r="8" spans="1:5" ht="18">
      <c r="A8" s="7" t="s">
        <v>147</v>
      </c>
      <c r="B8" s="11">
        <f>IF(OR(B4=0,B7="",B7=1),"",(B6-B7)/(1-B7))</f>
        <v>0.91912495856811405</v>
      </c>
      <c r="C8" s="8"/>
    </row>
    <row r="9" spans="1:5">
      <c r="A9" s="7" t="s">
        <v>148</v>
      </c>
      <c r="B9" s="8">
        <f>COUNTIFS(Codificación!D2:D68,"&lt;&gt;",Codificación!E2:E68,"&lt;&gt;")-B4</f>
        <v>6</v>
      </c>
      <c r="C9" s="8"/>
    </row>
    <row r="10" spans="1:5">
      <c r="A10" s="6" t="s">
        <v>149</v>
      </c>
      <c r="B10" s="6" t="s">
        <v>150</v>
      </c>
      <c r="C10" s="6" t="s">
        <v>151</v>
      </c>
    </row>
    <row r="11" spans="1:5">
      <c r="A11" s="8" t="s">
        <v>152</v>
      </c>
      <c r="B11" s="8"/>
      <c r="C11" s="8"/>
    </row>
    <row r="12" spans="1:5">
      <c r="A12" s="8" t="s">
        <v>153</v>
      </c>
      <c r="B12" s="8">
        <f>COUNTIFS(Codificación!D$2:D$68,A12,Codificación!E$2:E$68,"&lt;&gt;",Codificación!E$2:E$68,"&lt;&gt;Desechar")</f>
        <v>15</v>
      </c>
      <c r="C12" s="8">
        <f>COUNTIFS(Codificación!E$2:E$68,A12,Codificación!D$2:D$68,"&lt;&gt;",Codificación!D$2:D$68,"&lt;&gt;Desechar")</f>
        <v>17</v>
      </c>
    </row>
    <row r="13" spans="1:5">
      <c r="A13" s="8" t="s">
        <v>154</v>
      </c>
      <c r="B13" s="8">
        <f>COUNTIFS(Codificación!D$2:D$68,A13,Codificación!E$2:E$68,"&lt;&gt;",Codificación!E$2:E$68,"&lt;&gt;Desechar")</f>
        <v>5</v>
      </c>
      <c r="C13" s="8">
        <f>COUNTIFS(Codificación!E$2:E$68,A13,Codificación!D$2:D$68,"&lt;&gt;",Codificación!D$2:D$68,"&lt;&gt;Desechar")</f>
        <v>4</v>
      </c>
    </row>
    <row r="14" spans="1:5">
      <c r="A14" s="8" t="s">
        <v>155</v>
      </c>
      <c r="B14" s="8">
        <f>COUNTIFS(Codificación!D$2:D$68,A14,Codificación!E$2:E$68,"&lt;&gt;",Codificación!E$2:E$68,"&lt;&gt;Desechar")</f>
        <v>10</v>
      </c>
      <c r="C14" s="8">
        <f>COUNTIFS(Codificación!E$2:E$68,A14,Codificación!D$2:D$68,"&lt;&gt;",Codificación!D$2:D$68,"&lt;&gt;Desechar")</f>
        <v>10</v>
      </c>
    </row>
    <row r="15" spans="1:5">
      <c r="A15" s="8" t="s">
        <v>156</v>
      </c>
      <c r="B15" s="8">
        <f>COUNTIFS(Codificación!D$2:D$68,A15,Codificación!E$2:E$68,"&lt;&gt;",Codificación!E$2:E$68,"&lt;&gt;Desechar")</f>
        <v>9</v>
      </c>
      <c r="C15" s="8">
        <f>COUNTIFS(Codificación!E$2:E$68,A15,Codificación!D$2:D$68,"&lt;&gt;",Codificación!D$2:D$68,"&lt;&gt;Desechar")</f>
        <v>11</v>
      </c>
    </row>
    <row r="16" spans="1:5">
      <c r="A16" s="8" t="s">
        <v>157</v>
      </c>
      <c r="B16" s="8">
        <f>COUNTIFS(Codificación!D$2:D$68,A16,Codificación!E$2:E$68,"&lt;&gt;",Codificación!E$2:E$68,"&lt;&gt;Desechar")</f>
        <v>14</v>
      </c>
      <c r="C16" s="8">
        <f>COUNTIFS(Codificación!E$2:E$68,A16,Codificación!D$2:D$68,"&lt;&gt;",Codificación!D$2:D$68,"&lt;&gt;Desechar")</f>
        <v>13</v>
      </c>
    </row>
    <row r="17" spans="1:5">
      <c r="A17" s="8" t="s">
        <v>158</v>
      </c>
      <c r="B17" s="8">
        <f>COUNTIFS(Codificación!D$2:D$68,A17,Codificación!E$2:E$68,"&lt;&gt;",Codificación!E$2:E$68,"&lt;&gt;Desechar")</f>
        <v>8</v>
      </c>
      <c r="C17" s="8">
        <f>COUNTIFS(Codificación!E$2:E$68,A17,Codificación!D$2:D$68,"&lt;&gt;",Codificación!D$2:D$68,"&lt;&gt;Desechar")</f>
        <v>6</v>
      </c>
    </row>
    <row r="18" spans="1:5">
      <c r="A18" s="8"/>
      <c r="B18" s="8"/>
      <c r="C18" s="8"/>
    </row>
    <row r="19" spans="1:5">
      <c r="A19" s="8"/>
      <c r="B19" s="8"/>
      <c r="C19" s="8"/>
    </row>
    <row r="20" spans="1:5">
      <c r="A20" s="8"/>
      <c r="B20" s="8"/>
      <c r="C20" s="8"/>
    </row>
    <row r="21" spans="1:5">
      <c r="A21" s="8"/>
      <c r="B21" s="8"/>
      <c r="C21" s="8"/>
    </row>
    <row r="22" spans="1:5">
      <c r="A22" s="8"/>
      <c r="B22" s="8"/>
      <c r="C22" s="8"/>
    </row>
    <row r="23" spans="1:5">
      <c r="A23" s="8"/>
      <c r="B23" s="8"/>
      <c r="C23" s="8"/>
    </row>
    <row r="24" spans="1:5">
      <c r="A24" s="8"/>
      <c r="B24" s="8"/>
      <c r="C24" s="8"/>
    </row>
    <row r="25" spans="1:5">
      <c r="A25" s="6" t="s">
        <v>159</v>
      </c>
      <c r="B25" s="6"/>
      <c r="C25" s="6"/>
      <c r="D25" s="6"/>
      <c r="E25" s="6"/>
    </row>
    <row r="26" spans="1:5" ht="38" customHeight="1">
      <c r="A26" s="10" t="s">
        <v>160</v>
      </c>
      <c r="B26" s="8"/>
      <c r="C26" s="8"/>
    </row>
    <row r="27" spans="1:5" ht="38" customHeight="1">
      <c r="A27" s="10" t="s">
        <v>161</v>
      </c>
      <c r="B27" s="8"/>
      <c r="C27" s="8"/>
    </row>
    <row r="28" spans="1:5" ht="38" customHeight="1">
      <c r="A28" s="10" t="s">
        <v>162</v>
      </c>
      <c r="B28" s="8"/>
      <c r="C28" s="8"/>
    </row>
    <row r="29" spans="1:5" ht="38" customHeight="1">
      <c r="A29" s="10" t="s">
        <v>163</v>
      </c>
      <c r="B29" s="8"/>
      <c r="C29" s="8"/>
    </row>
    <row r="30" spans="1:5" ht="38" customHeight="1">
      <c r="A30" s="10" t="s">
        <v>164</v>
      </c>
      <c r="B30" s="8"/>
      <c r="C30" s="8"/>
    </row>
    <row r="31" spans="1:5" ht="38" customHeight="1">
      <c r="A31" s="10" t="s">
        <v>165</v>
      </c>
      <c r="B31" s="8"/>
      <c r="C3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Codificación</vt:lpstr>
      <vt:lpstr>Guía y kappa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Edith</dc:creator>
  <cp:lastModifiedBy>ricardo diaz ochoa</cp:lastModifiedBy>
  <dcterms:created xsi:type="dcterms:W3CDTF">2026-09-22T23:03:01Z</dcterms:created>
  <dcterms:modified xsi:type="dcterms:W3CDTF">2026-09-26T00:55:17Z</dcterms:modified>
</cp:coreProperties>
</file>